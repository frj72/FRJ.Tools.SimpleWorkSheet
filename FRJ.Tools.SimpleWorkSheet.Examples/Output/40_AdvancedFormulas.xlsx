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6fd7f64bc444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dvanced Formulas" sheetId="1" r:id="Ra3933eef3f724237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D966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7f595bc674953" /><Relationship Type="http://schemas.openxmlformats.org/officeDocument/2006/relationships/worksheet" Target="/xl/worksheets/sheet1.xml" Id="Ra3933eef3f724237" /></Relationships>
</file>

<file path=xl/worksheets/sheet1.xml><?xml version="1.0" encoding="utf-8"?>
<x:worksheet xmlns:x="http://schemas.openxmlformats.org/spreadsheetml/2006/main">
  <x:cols>
    <x:col min="1" max="1" width="15" customWidth="1"/>
    <x:col min="2" max="2" width="35" customWidth="1"/>
    <x:col min="3" max="3" width="25" customWidth="1"/>
    <x:col min="6" max="6" width="12" customWidth="1"/>
    <x:col min="7" max="7" width="10" customWidth="1"/>
  </x:cols>
  <x:sheetData>
    <x:row r="1">
      <x:c r="A1" s="1" t="str">
        <x:v>Category</x:v>
      </x:c>
      <x:c r="B1" s="1" t="str">
        <x:v>Formula</x:v>
      </x:c>
      <x:c r="C1" s="1" t="str">
        <x:v>Result</x:v>
      </x:c>
    </x:row>
    <x:row r="2">
      <x:c r="F2" s="4" t="str">
        <x:v>Lookup Data</x:v>
      </x:c>
      <x:c r="G2" s="4" t="str">
        <x:v>Price</x:v>
      </x:c>
    </x:row>
    <x:row r="3">
      <x:c r="A3" s="2" t="str">
        <x:v>VLOOKUP</x:v>
      </x:c>
      <x:c r="B3" s="3" t="str">
        <x:v>=VLOOKUP("Apple",F2:G5,2,FALSE)</x:v>
      </x:c>
      <x:c r="C3" s="3">
        <x:f>=VLOOKUP("Apple",F2:G5,2,FALSE)</x:f>
      </x:c>
      <x:c r="F3" s="3" t="str">
        <x:v>Apple</x:v>
      </x:c>
      <x:c r="G3" s="3" t="n">
        <x:v>45</x:v>
      </x:c>
    </x:row>
    <x:row r="4">
      <x:c r="A4" s="2" t="str">
        <x:v>INDEX/MATCH</x:v>
      </x:c>
      <x:c r="B4" s="3" t="str">
        <x:v>=INDEX(G2:G5,MATCH("Banana",F2:F5,0))</x:v>
      </x:c>
      <x:c r="C4" s="3">
        <x:f>=INDEX(G2:G5,MATCH("Banana",F2:F5,0))</x:f>
      </x:c>
      <x:c r="F4" s="3" t="str">
        <x:v>Banana</x:v>
      </x:c>
      <x:c r="G4" s="3" t="n">
        <x:v>32</x:v>
      </x:c>
    </x:row>
    <x:row r="5">
      <x:c r="A5" s="2" t="str">
        <x:v>IF Statement</x:v>
      </x:c>
      <x:c r="B5" s="3" t="str">
        <x:v>=IF(G4&gt;50,"High","Low")</x:v>
      </x:c>
      <x:c r="C5" s="3">
        <x:f>=IF(G4&gt;50,"High","Low")</x:f>
      </x:c>
      <x:c r="F5" s="3" t="str">
        <x:v>Cherry</x:v>
      </x:c>
      <x:c r="G5" s="3" t="n">
        <x:v>78</x:v>
      </x:c>
    </x:row>
    <x:row r="6">
      <x:c r="A6" s="2" t="str">
        <x:v>NOT</x:v>
      </x:c>
      <x:c r="B6" s="3" t="str">
        <x:v>=NOT(G3&gt;50)</x:v>
      </x:c>
      <x:c r="C6" s="3">
        <x:f>=NOT(G3&gt;50)</x:f>
      </x:c>
      <x:c r="F6" s="3" t="str">
        <x:v>Date</x:v>
      </x:c>
      <x:c r="G6" s="3" t="n">
        <x:v>23</x:v>
      </x:c>
    </x:row>
    <x:row r="7">
      <x:c r="A7" s="2" t="str">
        <x:v>AND Logic</x:v>
      </x:c>
      <x:c r="B7" s="3" t="str">
        <x:v>=AND(G3&gt;20,G3&lt;80)</x:v>
      </x:c>
      <x:c r="C7" s="3">
        <x:f>=AND(G3&gt;20,G3&lt;80)</x:f>
      </x:c>
    </x:row>
    <x:row r="8">
      <x:c r="A8" s="2" t="str">
        <x:v>OR Logic</x:v>
      </x:c>
      <x:c r="B8" s="3" t="str">
        <x:v>=OR(G3&lt;30,G3&gt;70)</x:v>
      </x:c>
      <x:c r="C8" s="3">
        <x:f>=OR(G3&lt;30,G3&gt;70)</x:f>
      </x:c>
    </x:row>
    <x:row r="9">
      <x:c r="A9" s="2" t="str">
        <x:v>CONCATENATE</x:v>
      </x:c>
      <x:c r="B9" s="3" t="str">
        <x:v>=CONCATENATE(F3," - ",G3)</x:v>
      </x:c>
      <x:c r="C9" s="3">
        <x:f>=CONCATENATE(F3," - ",G3)</x:f>
      </x:c>
    </x:row>
    <x:row r="10">
      <x:c r="A10" s="2" t="str">
        <x:v>LEFT</x:v>
      </x:c>
      <x:c r="B10" s="3" t="str">
        <x:v>=LEFT(F2,3)</x:v>
      </x:c>
      <x:c r="C10" s="3">
        <x:f>=LEFT(F2,3)</x:f>
      </x:c>
    </x:row>
    <x:row r="11">
      <x:c r="A11" s="2" t="str">
        <x:v>UPPER</x:v>
      </x:c>
      <x:c r="B11" s="3" t="str">
        <x:v>=UPPER(F2)</x:v>
      </x:c>
      <x:c r="C11" s="3">
        <x:f>=UPPER(F2)</x:f>
      </x:c>
    </x:row>
    <x:row r="12">
      <x:c r="A12" s="2" t="str">
        <x:v>ROUND</x:v>
      </x:c>
      <x:c r="B12" s="3" t="str">
        <x:v>=ROUND(G3/3,2)</x:v>
      </x:c>
      <x:c r="C12" s="3">
        <x:f>=ROUND(G3/3,2)</x:f>
      </x:c>
    </x:row>
    <x:row r="13">
      <x:c r="A13" s="2" t="str">
        <x:v>ABS</x:v>
      </x:c>
      <x:c r="B13" s="3" t="str">
        <x:v>=ABS(G3-100)</x:v>
      </x:c>
      <x:c r="C13" s="3">
        <x:f>=ABS(G3-100)</x:f>
      </x:c>
    </x:row>
    <x:row r="14">
      <x:c r="A14" s="2" t="str">
        <x:v>POWER</x:v>
      </x:c>
      <x:c r="B14" s="3" t="str">
        <x:v>=POWER(G3,2)</x:v>
      </x:c>
      <x:c r="C14" s="3">
        <x:f>=POWER(G3,2)</x:f>
      </x:c>
    </x:row>
    <x:row r="15">
      <x:c r="A15" s="2" t="str">
        <x:v>SQRT</x:v>
      </x:c>
      <x:c r="B15" s="3" t="str">
        <x:v>=SQRT(G4)</x:v>
      </x:c>
      <x:c r="C15" s="3">
        <x:f>=SQRT(G4)</x:f>
      </x:c>
    </x:row>
    <x:row r="16">
      <x:c r="A16" s="2" t="str">
        <x:v>TODAY</x:v>
      </x:c>
      <x:c r="B16" s="3" t="str">
        <x:v>=TODAY()</x:v>
      </x:c>
      <x:c r="C16" s="3">
        <x:f>=TODAY()</x:f>
      </x:c>
    </x:row>
    <x:row r="17">
      <x:c r="A17" s="2" t="str">
        <x:v>DATE</x:v>
      </x:c>
      <x:c r="B17" s="3" t="str">
        <x:v>=DATE(2025,11,16)</x:v>
      </x:c>
      <x:c r="C17" s="3">
        <x:f>=DATE(2025,11,16)</x:f>
      </x:c>
    </x:row>
    <x:row r="18">
      <x:c r="A18" s="2" t="str">
        <x:v>YEAR</x:v>
      </x:c>
      <x:c r="B18" s="3" t="str">
        <x:v>=YEAR(TODAY())</x:v>
      </x:c>
      <x:c r="C18" s="3">
        <x:f>=YEAR(TODAY())</x:f>
      </x:c>
    </x:row>
  </x:sheetData>
</x:worksheet>
</file>